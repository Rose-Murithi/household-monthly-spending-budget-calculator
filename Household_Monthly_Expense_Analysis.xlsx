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8ca8b0b79064ca/Desktop/"/>
    </mc:Choice>
  </mc:AlternateContent>
  <xr:revisionPtr revIDLastSave="1" documentId="8_{C9129EBF-DD14-492A-8648-4261D963B730}" xr6:coauthVersionLast="47" xr6:coauthVersionMax="47" xr10:uidLastSave="{0200CA73-2B4F-4EEC-AEF6-C3D432728E3A}"/>
  <bookViews>
    <workbookView xWindow="-110" yWindow="-110" windowWidth="19420" windowHeight="10300" activeTab="1" xr2:uid="{BC0F5B2B-AEF5-486A-B917-750AB7481634}"/>
  </bookViews>
  <sheets>
    <sheet name="Raw Data" sheetId="2" r:id="rId1"/>
    <sheet name="Household Budget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1" i="1" l="1"/>
  <c r="B68" i="1"/>
  <c r="B80" i="1"/>
  <c r="B52" i="1"/>
  <c r="B79" i="1"/>
  <c r="B37" i="1"/>
  <c r="B78" i="1"/>
  <c r="B21" i="1"/>
  <c r="B73" i="1"/>
  <c r="B72" i="1"/>
  <c r="B71" i="1"/>
  <c r="B70" i="1"/>
  <c r="B69" i="1"/>
  <c r="B57" i="1"/>
  <c r="B56" i="1"/>
  <c r="B55" i="1"/>
  <c r="B54" i="1"/>
  <c r="B42" i="1"/>
  <c r="B41" i="1"/>
  <c r="B40" i="1"/>
  <c r="B39" i="1"/>
  <c r="B25" i="1"/>
  <c r="B24" i="1"/>
  <c r="B23" i="1"/>
  <c r="B26" i="1"/>
  <c r="O63" i="1"/>
  <c r="O64" i="1"/>
  <c r="O62" i="1"/>
  <c r="N64" i="1"/>
  <c r="N63" i="1"/>
  <c r="N62" i="1"/>
  <c r="O48" i="1"/>
  <c r="O47" i="1"/>
  <c r="N48" i="1"/>
  <c r="N47" i="1"/>
  <c r="O33" i="1"/>
  <c r="O32" i="1"/>
  <c r="N33" i="1"/>
  <c r="N32" i="1"/>
  <c r="O16" i="1"/>
  <c r="O17" i="1"/>
  <c r="O15" i="1"/>
  <c r="N16" i="1"/>
  <c r="N17" i="1"/>
  <c r="N15" i="1"/>
  <c r="B9" i="1"/>
  <c r="B92" i="1" s="1"/>
  <c r="B53" i="1" l="1"/>
  <c r="B38" i="1"/>
  <c r="B22" i="1"/>
  <c r="B87" i="1" l="1"/>
  <c r="B86" i="1"/>
  <c r="B85" i="1"/>
  <c r="B84" i="1"/>
  <c r="B83" i="1"/>
  <c r="B82" i="1"/>
  <c r="B93" i="1" s="1"/>
  <c r="B94" i="1" s="1"/>
  <c r="B95" i="1" s="1"/>
</calcChain>
</file>

<file path=xl/sharedStrings.xml><?xml version="1.0" encoding="utf-8"?>
<sst xmlns="http://schemas.openxmlformats.org/spreadsheetml/2006/main" count="177" uniqueCount="107">
  <si>
    <t>Household Monthly Spending &amp; Budget Calculator</t>
  </si>
  <si>
    <t>Expense</t>
  </si>
  <si>
    <t>Income</t>
  </si>
  <si>
    <t>Income #1</t>
  </si>
  <si>
    <t>Income #2</t>
  </si>
  <si>
    <t>Other Income</t>
  </si>
  <si>
    <t>Total Income</t>
  </si>
  <si>
    <t>Home</t>
  </si>
  <si>
    <t>Mortgage/Rent</t>
  </si>
  <si>
    <t>Homeowners/Rent Insurance</t>
  </si>
  <si>
    <t>Utilities</t>
  </si>
  <si>
    <t>Cable/Internet</t>
  </si>
  <si>
    <t>Trash</t>
  </si>
  <si>
    <t>Home Maintenance</t>
  </si>
  <si>
    <t>Misc. House Stuff</t>
  </si>
  <si>
    <t>Lawn/Garden</t>
  </si>
  <si>
    <t>Total Home Expenses</t>
  </si>
  <si>
    <t>Daily Living</t>
  </si>
  <si>
    <t>Groceries</t>
  </si>
  <si>
    <t>Clothing</t>
  </si>
  <si>
    <t>Books &amp; Supplies</t>
  </si>
  <si>
    <t>Child Care</t>
  </si>
  <si>
    <t>Pets</t>
  </si>
  <si>
    <t>Total Daily Living Expenses</t>
  </si>
  <si>
    <t>Transportation</t>
  </si>
  <si>
    <t>Car Insurance</t>
  </si>
  <si>
    <t>Car Maintenance</t>
  </si>
  <si>
    <t>Car Payments</t>
  </si>
  <si>
    <t>Bus/Train Fair</t>
  </si>
  <si>
    <t>Gas (Car)</t>
  </si>
  <si>
    <t>Parking</t>
  </si>
  <si>
    <t>Total Transportation Expenses</t>
  </si>
  <si>
    <t>Entertainment</t>
  </si>
  <si>
    <t>Travel</t>
  </si>
  <si>
    <t>Movies</t>
  </si>
  <si>
    <t>Special  Occasions</t>
  </si>
  <si>
    <t>Gifts</t>
  </si>
  <si>
    <t>Total Entertainment Expenses</t>
  </si>
  <si>
    <t>Personal</t>
  </si>
  <si>
    <t>Subscriptions</t>
  </si>
  <si>
    <t>Phone</t>
  </si>
  <si>
    <t>Gym Fees/Memberships</t>
  </si>
  <si>
    <t>Salon/Barber</t>
  </si>
  <si>
    <t>Eating Out</t>
  </si>
  <si>
    <t>Miscellaneous</t>
  </si>
  <si>
    <t>Total Personal Expenses</t>
  </si>
  <si>
    <t>Income Source</t>
  </si>
  <si>
    <t>Amount</t>
  </si>
  <si>
    <t xml:space="preserve"> </t>
  </si>
  <si>
    <t>Blank</t>
  </si>
  <si>
    <t>Total Monthly Income</t>
  </si>
  <si>
    <t>Monthly Expense Analysis</t>
  </si>
  <si>
    <t>Monthly Income Summary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</si>
  <si>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</si>
  <si>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</si>
  <si>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</si>
  <si>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</si>
  <si>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</si>
  <si>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</si>
  <si>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</si>
  <si>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</si>
  <si>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 xml:space="preserve">October </t>
  </si>
  <si>
    <t>November</t>
  </si>
  <si>
    <t>December</t>
  </si>
  <si>
    <t>Average Monthly Expenses</t>
  </si>
  <si>
    <t>Recorded Values</t>
  </si>
  <si>
    <t>Average Monthly Daily Living Expenses</t>
  </si>
  <si>
    <t>Average Monthly Home Expenses</t>
  </si>
  <si>
    <t>Average Monthly Personal Expenses</t>
  </si>
  <si>
    <t>Overall Monthly Expense Summary</t>
  </si>
  <si>
    <t>Expense Category</t>
  </si>
  <si>
    <t>Average Monthly Expense</t>
  </si>
  <si>
    <t xml:space="preserve">Personal </t>
  </si>
  <si>
    <t>Total Average Monthly Expenses</t>
  </si>
  <si>
    <t>Budget Analysis</t>
  </si>
  <si>
    <t>Budget Balance</t>
  </si>
  <si>
    <t xml:space="preserve">Budget Assessment </t>
  </si>
  <si>
    <t>Financial  Metric</t>
  </si>
  <si>
    <t>Result</t>
  </si>
  <si>
    <t>February</t>
  </si>
  <si>
    <t>Number of Expense Categories Analyzed</t>
  </si>
  <si>
    <t>Maximum  Average Monthly Expense</t>
  </si>
  <si>
    <t>Minimum Average Monthly Expense</t>
  </si>
  <si>
    <t>Median  Average Monthly Expense</t>
  </si>
  <si>
    <t>Range of Average Monthly Expenses</t>
  </si>
  <si>
    <t xml:space="preserve"> Total Recorded Values</t>
  </si>
  <si>
    <t>Home Expenditure Statistics</t>
  </si>
  <si>
    <t>Maximum Recorded Home Expense</t>
  </si>
  <si>
    <t>Minimum Recorded Home Expense</t>
  </si>
  <si>
    <t>Home Expense Range</t>
  </si>
  <si>
    <t>Median Recorded Home Expense</t>
  </si>
  <si>
    <t>Daily Living Expenditure Statistics</t>
  </si>
  <si>
    <t>Maximum Recorded Daily Living Expense</t>
  </si>
  <si>
    <t>Minimum Recorded Daily Living Expense</t>
  </si>
  <si>
    <t>Median Recorded Daily Living Expense</t>
  </si>
  <si>
    <t>Daily Living Expense Range</t>
  </si>
  <si>
    <t>Maximum Recorded Personal Expense</t>
  </si>
  <si>
    <t>Minimum Recorded Personal Expense</t>
  </si>
  <si>
    <t>Median Recorded Personal Expense</t>
  </si>
  <si>
    <t>Personal Expense Range</t>
  </si>
  <si>
    <t>Maximum Recorded Transport Expense</t>
  </si>
  <si>
    <t>Minimum Recorded Transport Expense</t>
  </si>
  <si>
    <t>Median Recorded Transport Expense</t>
  </si>
  <si>
    <t>Transport Expense Range</t>
  </si>
  <si>
    <t>Personal Expenditure Statistics</t>
  </si>
  <si>
    <t>Transport Expenditure Statistics</t>
  </si>
  <si>
    <t>Average Monthly Transport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</si>
</sst>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44" fontId="0" fillId="0" borderId="0" xfId="1" applyFont="1"/>
    <xf numFmtId="44" fontId="2" fillId="0" borderId="0" xfId="1" applyFont="1"/>
    <xf numFmtId="44" fontId="0" fillId="0" borderId="0" xfId="0" applyNumberFormat="1"/>
    <xf numFmtId="44" fontId="2" fillId="0" borderId="0" xfId="0" applyNumberFormat="1" applyFont="1"/>
    <xf numFmtId="0" fontId="5" fillId="0" borderId="0" xfId="0" applyFont="1"/>
    <xf numFmtId="0" fontId="0" fillId="0" borderId="0" xfId="0" applyFont="1"/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1E54-E6B9-488B-9D11-216CA05789B8}">
  <dimension ref="A1:N43"/>
  <sheetViews>
    <sheetView topLeftCell="B31" workbookViewId="0">
      <selection activeCell="B42" sqref="B42:N42"/>
    </sheetView>
  </sheetViews>
  <sheetFormatPr defaultRowHeight="14.5" x14ac:dyDescent="0.35"/>
  <cols>
    <col min="1" max="1" width="32.81640625" bestFit="1" customWidth="1"/>
    <col min="2" max="2" width="27.453125" bestFit="1" customWidth="1"/>
  </cols>
  <sheetData>
    <row r="1" spans="1:14" x14ac:dyDescent="0.35">
      <c r="A1" t="s">
        <v>2</v>
      </c>
      <c r="B1" t="s">
        <v>3</v>
      </c>
      <c r="C1">
        <v>1650</v>
      </c>
    </row>
    <row r="2" spans="1:14" x14ac:dyDescent="0.35">
      <c r="B2" t="s">
        <v>4</v>
      </c>
      <c r="C2">
        <v>2000</v>
      </c>
    </row>
    <row r="3" spans="1:14" x14ac:dyDescent="0.35">
      <c r="B3" t="s">
        <v>5</v>
      </c>
    </row>
    <row r="4" spans="1:14" x14ac:dyDescent="0.35">
      <c r="A4" t="s">
        <v>6</v>
      </c>
    </row>
    <row r="6" spans="1:14" x14ac:dyDescent="0.35">
      <c r="A6" t="s">
        <v>7</v>
      </c>
      <c r="B6" t="s">
        <v>8</v>
      </c>
      <c r="C6">
        <v>900</v>
      </c>
    </row>
    <row r="7" spans="1:14" x14ac:dyDescent="0.35">
      <c r="B7" t="s">
        <v>9</v>
      </c>
      <c r="C7">
        <v>8</v>
      </c>
    </row>
    <row r="8" spans="1:14" x14ac:dyDescent="0.35">
      <c r="B8" t="s">
        <v>10</v>
      </c>
      <c r="C8">
        <v>255</v>
      </c>
      <c r="D8">
        <v>230</v>
      </c>
      <c r="E8">
        <v>200</v>
      </c>
      <c r="F8">
        <v>195</v>
      </c>
      <c r="G8">
        <v>150</v>
      </c>
      <c r="H8">
        <v>165</v>
      </c>
      <c r="I8">
        <v>175</v>
      </c>
      <c r="J8">
        <v>165</v>
      </c>
      <c r="K8">
        <v>160</v>
      </c>
      <c r="L8">
        <v>160</v>
      </c>
      <c r="M8">
        <v>200</v>
      </c>
      <c r="N8">
        <v>235</v>
      </c>
    </row>
    <row r="9" spans="1:14" x14ac:dyDescent="0.35">
      <c r="B9" t="s">
        <v>11</v>
      </c>
    </row>
    <row r="10" spans="1:14" x14ac:dyDescent="0.35">
      <c r="B10" t="s">
        <v>12</v>
      </c>
    </row>
    <row r="11" spans="1:14" x14ac:dyDescent="0.35">
      <c r="B11" t="s">
        <v>13</v>
      </c>
    </row>
    <row r="12" spans="1:14" x14ac:dyDescent="0.35">
      <c r="B12" t="s">
        <v>14</v>
      </c>
    </row>
    <row r="13" spans="1:14" x14ac:dyDescent="0.35">
      <c r="B13" t="s">
        <v>15</v>
      </c>
    </row>
    <row r="14" spans="1:14" x14ac:dyDescent="0.35">
      <c r="A14" t="s">
        <v>16</v>
      </c>
    </row>
    <row r="16" spans="1:14" x14ac:dyDescent="0.35">
      <c r="A16" t="s">
        <v>17</v>
      </c>
      <c r="B16" t="s">
        <v>18</v>
      </c>
      <c r="C16">
        <v>875</v>
      </c>
      <c r="D16">
        <v>730</v>
      </c>
      <c r="E16">
        <v>795</v>
      </c>
      <c r="F16">
        <v>825</v>
      </c>
      <c r="G16">
        <v>855</v>
      </c>
      <c r="H16">
        <v>815</v>
      </c>
      <c r="I16">
        <v>885</v>
      </c>
      <c r="J16">
        <v>920</v>
      </c>
      <c r="K16">
        <v>942</v>
      </c>
      <c r="L16">
        <v>875</v>
      </c>
      <c r="M16">
        <v>975</v>
      </c>
      <c r="N16">
        <v>1050</v>
      </c>
    </row>
    <row r="17" spans="1:10" x14ac:dyDescent="0.35">
      <c r="B17" t="s">
        <v>19</v>
      </c>
    </row>
    <row r="18" spans="1:10" x14ac:dyDescent="0.35">
      <c r="B18" t="s">
        <v>20</v>
      </c>
      <c r="C18">
        <v>2115</v>
      </c>
      <c r="H18">
        <v>2419</v>
      </c>
      <c r="J18">
        <v>3275</v>
      </c>
    </row>
    <row r="19" spans="1:10" x14ac:dyDescent="0.35">
      <c r="B19" t="s">
        <v>21</v>
      </c>
    </row>
    <row r="20" spans="1:10" x14ac:dyDescent="0.35">
      <c r="B20" t="s">
        <v>22</v>
      </c>
    </row>
    <row r="21" spans="1:10" x14ac:dyDescent="0.35">
      <c r="A21" t="s">
        <v>23</v>
      </c>
    </row>
    <row r="23" spans="1:10" x14ac:dyDescent="0.35">
      <c r="A23" t="s">
        <v>24</v>
      </c>
      <c r="B23" t="s">
        <v>25</v>
      </c>
      <c r="C23">
        <v>375</v>
      </c>
    </row>
    <row r="24" spans="1:10" x14ac:dyDescent="0.35">
      <c r="B24" t="s">
        <v>26</v>
      </c>
    </row>
    <row r="25" spans="1:10" x14ac:dyDescent="0.35">
      <c r="B25" t="s">
        <v>27</v>
      </c>
      <c r="C25">
        <v>210</v>
      </c>
    </row>
    <row r="26" spans="1:10" x14ac:dyDescent="0.35">
      <c r="B26" t="s">
        <v>28</v>
      </c>
    </row>
    <row r="27" spans="1:10" x14ac:dyDescent="0.35">
      <c r="B27" t="s">
        <v>29</v>
      </c>
    </row>
    <row r="28" spans="1:10" x14ac:dyDescent="0.35">
      <c r="B28" t="s">
        <v>30</v>
      </c>
    </row>
    <row r="29" spans="1:10" x14ac:dyDescent="0.35">
      <c r="A29" t="s">
        <v>31</v>
      </c>
    </row>
    <row r="31" spans="1:10" x14ac:dyDescent="0.35">
      <c r="A31" t="s">
        <v>32</v>
      </c>
      <c r="B31" t="s">
        <v>33</v>
      </c>
    </row>
    <row r="32" spans="1:10" x14ac:dyDescent="0.35">
      <c r="B32" t="s">
        <v>34</v>
      </c>
    </row>
    <row r="33" spans="1:14" x14ac:dyDescent="0.35">
      <c r="B33" t="s">
        <v>35</v>
      </c>
    </row>
    <row r="34" spans="1:14" x14ac:dyDescent="0.35">
      <c r="B34" t="s">
        <v>36</v>
      </c>
    </row>
    <row r="35" spans="1:14" x14ac:dyDescent="0.35">
      <c r="A35" t="s">
        <v>37</v>
      </c>
    </row>
    <row r="37" spans="1:14" x14ac:dyDescent="0.35">
      <c r="A37" t="s">
        <v>38</v>
      </c>
      <c r="B37" t="s">
        <v>39</v>
      </c>
    </row>
    <row r="38" spans="1:14" x14ac:dyDescent="0.35">
      <c r="B38" t="s">
        <v>40</v>
      </c>
      <c r="C38">
        <v>120</v>
      </c>
      <c r="D38">
        <v>131</v>
      </c>
      <c r="E38">
        <v>125</v>
      </c>
      <c r="F38">
        <v>138</v>
      </c>
      <c r="G38">
        <v>120</v>
      </c>
      <c r="H38">
        <v>145</v>
      </c>
      <c r="I38">
        <v>140</v>
      </c>
      <c r="J38">
        <v>135</v>
      </c>
      <c r="K38">
        <v>145</v>
      </c>
      <c r="L38">
        <v>135</v>
      </c>
      <c r="M38">
        <v>165</v>
      </c>
      <c r="N38">
        <v>175</v>
      </c>
    </row>
    <row r="39" spans="1:14" x14ac:dyDescent="0.35">
      <c r="B39" t="s">
        <v>41</v>
      </c>
      <c r="C39">
        <v>50</v>
      </c>
    </row>
    <row r="40" spans="1:14" x14ac:dyDescent="0.35">
      <c r="B40" t="s">
        <v>42</v>
      </c>
    </row>
    <row r="41" spans="1:14" x14ac:dyDescent="0.35">
      <c r="B41" t="s">
        <v>43</v>
      </c>
    </row>
    <row r="42" spans="1:14" x14ac:dyDescent="0.35">
      <c r="B42" t="s">
        <v>44</v>
      </c>
      <c r="C42">
        <v>200</v>
      </c>
      <c r="D42">
        <v>250</v>
      </c>
      <c r="E42">
        <v>120</v>
      </c>
      <c r="F42">
        <v>180</v>
      </c>
      <c r="G42">
        <v>250</v>
      </c>
      <c r="H42">
        <v>120</v>
      </c>
      <c r="I42">
        <v>150</v>
      </c>
      <c r="J42">
        <v>135</v>
      </c>
      <c r="K42">
        <v>200</v>
      </c>
      <c r="L42">
        <v>250</v>
      </c>
      <c r="M42">
        <v>270</v>
      </c>
      <c r="N42">
        <v>350</v>
      </c>
    </row>
    <row r="43" spans="1:14" x14ac:dyDescent="0.35">
      <c r="A4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2A0C6-5631-484A-AFD4-95A98B8B534A}">
  <dimension ref="A1:S104"/>
  <sheetViews>
    <sheetView tabSelected="1" zoomScale="98" zoomScaleNormal="98" workbookViewId="0">
      <selection activeCell="C97" sqref="C97"/>
    </sheetView>
  </sheetViews>
  <sheetFormatPr defaultRowHeight="14.5" x14ac:dyDescent="0.35"/>
  <cols>
    <col min="1" max="1" width="41.81640625" bestFit="1" customWidth="1"/>
    <col min="2" max="2" width="22.6328125" bestFit="1" customWidth="1"/>
    <col min="3" max="3" width="23.54296875" bestFit="1" customWidth="1"/>
    <col min="4" max="4" width="12" bestFit="1" customWidth="1"/>
    <col min="5" max="6" width="8.81640625" bestFit="1" customWidth="1"/>
    <col min="7" max="7" width="10.1796875" bestFit="1" customWidth="1"/>
    <col min="8" max="8" width="8.81640625" bestFit="1" customWidth="1"/>
    <col min="9" max="9" width="10.1796875" bestFit="1" customWidth="1"/>
    <col min="10" max="10" width="10" bestFit="1" customWidth="1"/>
    <col min="11" max="11" width="8.81640625" bestFit="1" customWidth="1"/>
    <col min="12" max="12" width="9.6328125" bestFit="1" customWidth="1"/>
    <col min="13" max="13" width="10.1796875" bestFit="1" customWidth="1"/>
    <col min="14" max="14" width="23.6328125" bestFit="1" customWidth="1"/>
    <col min="15" max="15" width="14.81640625" bestFit="1" customWidth="1"/>
    <col min="16" max="16" width="24.90625" bestFit="1" customWidth="1"/>
    <col min="17" max="17" width="24.54296875" bestFit="1" customWidth="1"/>
    <col min="18" max="18" width="24.54296875" customWidth="1"/>
    <col min="19" max="19" width="21.54296875" bestFit="1" customWidth="1"/>
  </cols>
  <sheetData>
    <row r="1" spans="1:19" ht="21" x14ac:dyDescent="0.5">
      <c r="C1" s="2"/>
      <c r="D1" s="2"/>
      <c r="E1" s="2"/>
      <c r="F1" s="2"/>
      <c r="G1" s="2"/>
    </row>
    <row r="2" spans="1:19" ht="21" x14ac:dyDescent="0.5">
      <c r="A2" s="2" t="s">
        <v>0</v>
      </c>
      <c r="B2" s="2"/>
      <c r="C2" s="2"/>
      <c r="D2" s="2"/>
      <c r="F2" s="2"/>
      <c r="G2" s="2"/>
    </row>
    <row r="3" spans="1:19" ht="21" x14ac:dyDescent="0.5">
      <c r="A3" s="2"/>
      <c r="B3" s="2"/>
      <c r="C3" s="2"/>
      <c r="D3" s="2"/>
    </row>
    <row r="4" spans="1:19" ht="18.5" x14ac:dyDescent="0.45">
      <c r="A4" s="3" t="s">
        <v>52</v>
      </c>
      <c r="B4" s="3"/>
      <c r="C4" s="1"/>
      <c r="D4" s="1"/>
    </row>
    <row r="5" spans="1:19" x14ac:dyDescent="0.35">
      <c r="A5" s="1" t="s">
        <v>46</v>
      </c>
      <c r="B5" s="1" t="s">
        <v>47</v>
      </c>
    </row>
    <row r="6" spans="1:19" x14ac:dyDescent="0.35">
      <c r="A6" t="s">
        <v>3</v>
      </c>
      <c r="B6" s="4">
        <v>1650</v>
      </c>
    </row>
    <row r="7" spans="1:19" x14ac:dyDescent="0.35">
      <c r="A7" t="s">
        <v>4</v>
      </c>
      <c r="B7" s="4">
        <v>2000</v>
      </c>
    </row>
    <row r="8" spans="1:19" x14ac:dyDescent="0.35">
      <c r="A8" t="s">
        <v>5</v>
      </c>
      <c r="B8" s="4" t="s">
        <v>49</v>
      </c>
      <c r="C8" t="s">
        <v>48</v>
      </c>
    </row>
    <row r="9" spans="1:19" ht="18.5" x14ac:dyDescent="0.45">
      <c r="A9" s="3" t="s">
        <v>50</v>
      </c>
      <c r="B9" s="5">
        <f>SUM(B6:B8)</f>
        <v>3650</v>
      </c>
    </row>
    <row r="11" spans="1:19" ht="14" customHeight="1" x14ac:dyDescent="0.35"/>
    <row r="12" spans="1:19" ht="18.5" x14ac:dyDescent="0.45">
      <c r="A12" s="3" t="s">
        <v>51</v>
      </c>
    </row>
    <row r="13" spans="1:19" ht="15.5" x14ac:dyDescent="0.35">
      <c r="A13" s="8" t="s">
        <v>7</v>
      </c>
    </row>
    <row r="14" spans="1:19" x14ac:dyDescent="0.35">
      <c r="A14" s="1" t="s">
        <v>1</v>
      </c>
      <c r="B14" s="1" t="s">
        <v>53</v>
      </c>
      <c r="C14" s="1" t="s">
        <v>79</v>
      </c>
      <c r="D14" s="1" t="s">
        <v>54</v>
      </c>
      <c r="E14" s="1" t="s">
        <v>55</v>
      </c>
      <c r="F14" s="1" t="s">
        <v>56</v>
      </c>
      <c r="G14" s="1" t="s">
        <v>57</v>
      </c>
      <c r="H14" s="1" t="s">
        <v>58</v>
      </c>
      <c r="I14" s="1" t="s">
        <v>59</v>
      </c>
      <c r="J14" s="1" t="s">
        <v>60</v>
      </c>
      <c r="K14" s="1" t="s">
        <v>61</v>
      </c>
      <c r="L14" s="1" t="s">
        <v>62</v>
      </c>
      <c r="M14" s="1" t="s">
        <v>63</v>
      </c>
      <c r="N14" s="1" t="s">
        <v>64</v>
      </c>
      <c r="O14" s="1" t="s">
        <v>65</v>
      </c>
      <c r="P14" s="1"/>
      <c r="Q14" s="1"/>
      <c r="R14" s="1"/>
      <c r="S14" s="1"/>
    </row>
    <row r="15" spans="1:19" x14ac:dyDescent="0.35">
      <c r="A15" t="s">
        <v>8</v>
      </c>
      <c r="B15" s="4">
        <v>900</v>
      </c>
      <c r="N15" s="6">
        <f>AVERAGE(B15:M15)</f>
        <v>900</v>
      </c>
      <c r="O15">
        <f>COUNT(B15:M15)</f>
        <v>1</v>
      </c>
      <c r="P15" s="6"/>
      <c r="Q15" s="6"/>
      <c r="R15" s="6"/>
    </row>
    <row r="16" spans="1:19" x14ac:dyDescent="0.35">
      <c r="A16" t="s">
        <v>9</v>
      </c>
      <c r="B16" s="4">
        <v>8</v>
      </c>
      <c r="N16" s="6">
        <f t="shared" ref="N16:N17" si="0">AVERAGE(B16:M16)</f>
        <v>8</v>
      </c>
      <c r="O16">
        <f t="shared" ref="O16:O17" si="1">COUNT(B16:M16)</f>
        <v>1</v>
      </c>
    </row>
    <row r="17" spans="1:19" x14ac:dyDescent="0.35">
      <c r="A17" t="s">
        <v>10</v>
      </c>
      <c r="B17" s="4">
        <v>255</v>
      </c>
      <c r="C17" s="4">
        <v>230</v>
      </c>
      <c r="D17" s="4">
        <v>200</v>
      </c>
      <c r="E17" s="4">
        <v>195</v>
      </c>
      <c r="F17" s="4">
        <v>150</v>
      </c>
      <c r="G17" s="4">
        <v>165</v>
      </c>
      <c r="H17" s="4">
        <v>175</v>
      </c>
      <c r="I17" s="4">
        <v>165</v>
      </c>
      <c r="J17" s="4">
        <v>160</v>
      </c>
      <c r="K17" s="4">
        <v>160</v>
      </c>
      <c r="L17" s="4">
        <v>200</v>
      </c>
      <c r="M17" s="4">
        <v>235</v>
      </c>
      <c r="N17" s="6">
        <f t="shared" si="0"/>
        <v>190.83333333333334</v>
      </c>
      <c r="O17">
        <f t="shared" si="1"/>
        <v>12</v>
      </c>
    </row>
    <row r="18" spans="1:19" x14ac:dyDescent="0.3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6"/>
    </row>
    <row r="19" spans="1:19" x14ac:dyDescent="0.3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6"/>
    </row>
    <row r="20" spans="1:19" ht="15.5" x14ac:dyDescent="0.35">
      <c r="A20" s="8" t="s">
        <v>86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6"/>
    </row>
    <row r="21" spans="1:19" x14ac:dyDescent="0.35">
      <c r="A21" s="9" t="s">
        <v>67</v>
      </c>
      <c r="B21" s="6">
        <f>SUM(N15:N17)</f>
        <v>1098.8333333333333</v>
      </c>
      <c r="N21" s="7"/>
    </row>
    <row r="22" spans="1:19" x14ac:dyDescent="0.35">
      <c r="A22" t="s">
        <v>85</v>
      </c>
      <c r="B22">
        <f>SUM(O15:O17)</f>
        <v>14</v>
      </c>
    </row>
    <row r="23" spans="1:19" x14ac:dyDescent="0.35">
      <c r="A23" t="s">
        <v>87</v>
      </c>
      <c r="B23" s="6">
        <f>MAX(B15,B16,B17:M17)</f>
        <v>900</v>
      </c>
    </row>
    <row r="24" spans="1:19" x14ac:dyDescent="0.35">
      <c r="A24" t="s">
        <v>88</v>
      </c>
      <c r="B24" s="6">
        <f>MIN(B15,B16,B17:M17)</f>
        <v>8</v>
      </c>
    </row>
    <row r="25" spans="1:19" x14ac:dyDescent="0.35">
      <c r="A25" t="s">
        <v>90</v>
      </c>
      <c r="B25" s="6">
        <f>MEDIAN(B15,B16,B17:M17)</f>
        <v>185</v>
      </c>
    </row>
    <row r="26" spans="1:19" x14ac:dyDescent="0.35">
      <c r="A26" t="s">
        <v>89</v>
      </c>
      <c r="B26" s="6">
        <f>MAX(B15,B16,B17:M17)-MIN(B15,B16,B17:M17)</f>
        <v>892</v>
      </c>
    </row>
    <row r="30" spans="1:19" ht="15.5" x14ac:dyDescent="0.35">
      <c r="A30" s="8" t="s">
        <v>17</v>
      </c>
    </row>
    <row r="31" spans="1:19" x14ac:dyDescent="0.35">
      <c r="A31" s="1" t="s">
        <v>1</v>
      </c>
      <c r="B31" s="1" t="s">
        <v>53</v>
      </c>
      <c r="C31" s="1" t="s">
        <v>79</v>
      </c>
      <c r="D31" s="1" t="s">
        <v>54</v>
      </c>
      <c r="E31" s="1" t="s">
        <v>55</v>
      </c>
      <c r="F31" s="1" t="s">
        <v>56</v>
      </c>
      <c r="G31" s="1" t="s">
        <v>57</v>
      </c>
      <c r="H31" s="1" t="s">
        <v>58</v>
      </c>
      <c r="I31" s="1" t="s">
        <v>59</v>
      </c>
      <c r="J31" s="1" t="s">
        <v>60</v>
      </c>
      <c r="K31" s="1" t="s">
        <v>61</v>
      </c>
      <c r="L31" s="1" t="s">
        <v>62</v>
      </c>
      <c r="M31" s="1" t="s">
        <v>63</v>
      </c>
      <c r="N31" s="1" t="s">
        <v>64</v>
      </c>
      <c r="O31" s="1" t="s">
        <v>65</v>
      </c>
      <c r="P31" s="1"/>
      <c r="Q31" s="1"/>
      <c r="R31" s="1"/>
      <c r="S31" s="1"/>
    </row>
    <row r="32" spans="1:19" x14ac:dyDescent="0.35">
      <c r="A32" t="s">
        <v>18</v>
      </c>
      <c r="B32" s="4">
        <v>875</v>
      </c>
      <c r="C32" s="4">
        <v>730</v>
      </c>
      <c r="D32" s="4">
        <v>795</v>
      </c>
      <c r="E32" s="4">
        <v>825</v>
      </c>
      <c r="F32" s="4">
        <v>855</v>
      </c>
      <c r="G32" s="4">
        <v>815</v>
      </c>
      <c r="H32" s="4">
        <v>885</v>
      </c>
      <c r="I32" s="4">
        <v>920</v>
      </c>
      <c r="J32" s="4">
        <v>942</v>
      </c>
      <c r="K32" s="4">
        <v>875</v>
      </c>
      <c r="L32" s="4">
        <v>975</v>
      </c>
      <c r="M32" s="4">
        <v>1050</v>
      </c>
      <c r="N32" s="4">
        <f>AVERAGE(B32:M32)</f>
        <v>878.5</v>
      </c>
      <c r="O32">
        <f>COUNT(B32:M32)</f>
        <v>12</v>
      </c>
      <c r="P32" s="6"/>
      <c r="Q32" s="6"/>
      <c r="R32" s="6"/>
      <c r="S32" s="6"/>
    </row>
    <row r="33" spans="1:19" x14ac:dyDescent="0.35">
      <c r="A33" t="s">
        <v>20</v>
      </c>
      <c r="B33" s="4">
        <v>2115</v>
      </c>
      <c r="C33" s="4"/>
      <c r="D33" s="4"/>
      <c r="E33" s="4"/>
      <c r="F33" s="4"/>
      <c r="G33" s="4">
        <v>2419</v>
      </c>
      <c r="H33" s="4"/>
      <c r="I33" s="4">
        <v>3275</v>
      </c>
      <c r="J33" s="4"/>
      <c r="K33" s="4"/>
      <c r="L33" s="4"/>
      <c r="M33" s="4"/>
      <c r="N33" s="4">
        <f>AVERAGE(B33:M33)</f>
        <v>2603</v>
      </c>
      <c r="O33">
        <f>COUNT(B33:M33)</f>
        <v>3</v>
      </c>
    </row>
    <row r="34" spans="1:19" x14ac:dyDescent="0.3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6" spans="1:19" ht="15.5" x14ac:dyDescent="0.35">
      <c r="A36" s="8" t="s">
        <v>91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9" x14ac:dyDescent="0.35">
      <c r="A37" s="9" t="s">
        <v>66</v>
      </c>
      <c r="B37" s="4">
        <f>SUM(N32:N33)</f>
        <v>3481.5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5"/>
    </row>
    <row r="38" spans="1:19" x14ac:dyDescent="0.35">
      <c r="A38" t="s">
        <v>85</v>
      </c>
      <c r="B38" s="10">
        <f>SUM(O32:O33)</f>
        <v>15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5"/>
    </row>
    <row r="39" spans="1:19" x14ac:dyDescent="0.35">
      <c r="A39" t="s">
        <v>92</v>
      </c>
      <c r="B39" s="4">
        <f>MAX(B32:M32,B33:M33)</f>
        <v>3275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/>
    </row>
    <row r="40" spans="1:19" x14ac:dyDescent="0.35">
      <c r="A40" t="s">
        <v>93</v>
      </c>
      <c r="B40" s="4">
        <f>MIN(B32:M32,B33:M33)</f>
        <v>730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5"/>
    </row>
    <row r="41" spans="1:19" x14ac:dyDescent="0.35">
      <c r="A41" t="s">
        <v>94</v>
      </c>
      <c r="B41" s="4">
        <f>MEDIAN(B32:M32,B33:M33)</f>
        <v>885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5"/>
    </row>
    <row r="42" spans="1:19" x14ac:dyDescent="0.35">
      <c r="A42" t="s">
        <v>95</v>
      </c>
      <c r="B42" s="4">
        <f>MAX(B32:M32,B33:M33)-MIN(B32:M32,B33:M33)</f>
        <v>2545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5"/>
    </row>
    <row r="45" spans="1:19" ht="15.5" x14ac:dyDescent="0.35">
      <c r="A45" s="8" t="s">
        <v>24</v>
      </c>
    </row>
    <row r="46" spans="1:19" x14ac:dyDescent="0.35">
      <c r="A46" s="1" t="s">
        <v>1</v>
      </c>
      <c r="B46" s="1" t="s">
        <v>53</v>
      </c>
      <c r="C46" s="1" t="s">
        <v>79</v>
      </c>
      <c r="D46" s="1" t="s">
        <v>54</v>
      </c>
      <c r="E46" s="1" t="s">
        <v>55</v>
      </c>
      <c r="F46" s="1" t="s">
        <v>56</v>
      </c>
      <c r="G46" s="1" t="s">
        <v>57</v>
      </c>
      <c r="H46" s="1" t="s">
        <v>58</v>
      </c>
      <c r="I46" s="1" t="s">
        <v>59</v>
      </c>
      <c r="J46" s="1" t="s">
        <v>60</v>
      </c>
      <c r="K46" s="1" t="s">
        <v>61</v>
      </c>
      <c r="L46" s="1" t="s">
        <v>62</v>
      </c>
      <c r="M46" s="1" t="s">
        <v>63</v>
      </c>
      <c r="N46" s="1" t="s">
        <v>64</v>
      </c>
      <c r="O46" s="1" t="s">
        <v>65</v>
      </c>
      <c r="P46" s="1"/>
      <c r="Q46" s="1"/>
      <c r="R46" s="1"/>
      <c r="S46" s="1"/>
    </row>
    <row r="47" spans="1:19" x14ac:dyDescent="0.35">
      <c r="A47" t="s">
        <v>25</v>
      </c>
      <c r="B47" s="4">
        <v>375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>
        <f>AVERAGE(B47:M47)</f>
        <v>375</v>
      </c>
      <c r="O47">
        <f>COUNT(B47:M47)</f>
        <v>1</v>
      </c>
      <c r="P47" s="6"/>
      <c r="Q47" s="6"/>
      <c r="R47" s="6"/>
      <c r="S47" s="6"/>
    </row>
    <row r="48" spans="1:19" x14ac:dyDescent="0.35">
      <c r="A48" t="s">
        <v>27</v>
      </c>
      <c r="B48" s="4">
        <v>210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>
        <f>AVERAGE(B48:M48)</f>
        <v>210</v>
      </c>
      <c r="O48">
        <f>COUNT(B48:M48)</f>
        <v>1</v>
      </c>
    </row>
    <row r="49" spans="1:19" x14ac:dyDescent="0.3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9" x14ac:dyDescent="0.3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9" ht="15.5" x14ac:dyDescent="0.35">
      <c r="A51" s="8" t="s">
        <v>105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9" x14ac:dyDescent="0.35">
      <c r="A52" s="9" t="s">
        <v>106</v>
      </c>
      <c r="B52" s="4">
        <f>SUM(N47:N48)</f>
        <v>585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5"/>
    </row>
    <row r="53" spans="1:19" x14ac:dyDescent="0.35">
      <c r="A53" t="s">
        <v>85</v>
      </c>
      <c r="B53" s="10">
        <f>SUM(O47:O48)</f>
        <v>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5"/>
    </row>
    <row r="54" spans="1:19" x14ac:dyDescent="0.35">
      <c r="A54" t="s">
        <v>100</v>
      </c>
      <c r="B54" s="4">
        <f>MAX(B47,B48)</f>
        <v>375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5"/>
    </row>
    <row r="55" spans="1:19" x14ac:dyDescent="0.35">
      <c r="A55" t="s">
        <v>101</v>
      </c>
      <c r="B55" s="4">
        <f>MIN(B47,B48)</f>
        <v>210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5"/>
    </row>
    <row r="56" spans="1:19" x14ac:dyDescent="0.35">
      <c r="A56" t="s">
        <v>102</v>
      </c>
      <c r="B56" s="4">
        <f>MEDIAN(B47,B48)</f>
        <v>292.5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5"/>
    </row>
    <row r="57" spans="1:19" x14ac:dyDescent="0.35">
      <c r="A57" t="s">
        <v>103</v>
      </c>
      <c r="B57" s="4">
        <f>MAX(B47,B48)-MIN(B47,B48)</f>
        <v>165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5"/>
    </row>
    <row r="60" spans="1:19" ht="15.5" x14ac:dyDescent="0.35">
      <c r="A60" s="8" t="s">
        <v>38</v>
      </c>
    </row>
    <row r="61" spans="1:19" x14ac:dyDescent="0.35">
      <c r="A61" s="1" t="s">
        <v>1</v>
      </c>
      <c r="B61" s="1" t="s">
        <v>53</v>
      </c>
      <c r="C61" s="1" t="s">
        <v>79</v>
      </c>
      <c r="D61" s="1" t="s">
        <v>54</v>
      </c>
      <c r="E61" s="1" t="s">
        <v>55</v>
      </c>
      <c r="F61" s="1" t="s">
        <v>56</v>
      </c>
      <c r="G61" s="1" t="s">
        <v>57</v>
      </c>
      <c r="H61" s="1" t="s">
        <v>58</v>
      </c>
      <c r="I61" s="1" t="s">
        <v>59</v>
      </c>
      <c r="J61" s="1" t="s">
        <v>60</v>
      </c>
      <c r="K61" s="1" t="s">
        <v>61</v>
      </c>
      <c r="L61" s="1" t="s">
        <v>62</v>
      </c>
      <c r="M61" s="1" t="s">
        <v>63</v>
      </c>
      <c r="N61" s="1" t="s">
        <v>64</v>
      </c>
      <c r="O61" s="1" t="s">
        <v>65</v>
      </c>
      <c r="P61" s="1"/>
      <c r="Q61" s="1"/>
      <c r="R61" s="1"/>
      <c r="S61" s="1"/>
    </row>
    <row r="62" spans="1:19" x14ac:dyDescent="0.35">
      <c r="A62" t="s">
        <v>40</v>
      </c>
      <c r="B62" s="4">
        <v>120</v>
      </c>
      <c r="C62" s="4">
        <v>131</v>
      </c>
      <c r="D62" s="4">
        <v>125</v>
      </c>
      <c r="E62" s="4">
        <v>138</v>
      </c>
      <c r="F62" s="4">
        <v>120</v>
      </c>
      <c r="G62" s="4">
        <v>145</v>
      </c>
      <c r="H62" s="4">
        <v>140</v>
      </c>
      <c r="I62" s="4">
        <v>135</v>
      </c>
      <c r="J62" s="4">
        <v>145</v>
      </c>
      <c r="K62" s="4">
        <v>135</v>
      </c>
      <c r="L62" s="4">
        <v>165</v>
      </c>
      <c r="M62" s="4">
        <v>175</v>
      </c>
      <c r="N62" s="4">
        <f>AVERAGE(B62:M62)</f>
        <v>139.5</v>
      </c>
      <c r="O62">
        <f>COUNT(B62:M62)</f>
        <v>12</v>
      </c>
      <c r="P62" s="6"/>
      <c r="Q62" s="6"/>
      <c r="R62" s="6"/>
      <c r="S62" s="6"/>
    </row>
    <row r="63" spans="1:19" x14ac:dyDescent="0.35">
      <c r="A63" t="s">
        <v>41</v>
      </c>
      <c r="B63" s="4">
        <v>50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>
        <f>AVERAGE(B63:M63)</f>
        <v>50</v>
      </c>
      <c r="O63">
        <f t="shared" ref="O63:O64" si="2">COUNT(B63:M63)</f>
        <v>1</v>
      </c>
    </row>
    <row r="64" spans="1:19" x14ac:dyDescent="0.35">
      <c r="A64" t="s">
        <v>44</v>
      </c>
      <c r="B64" s="4">
        <v>200</v>
      </c>
      <c r="C64" s="4">
        <v>250</v>
      </c>
      <c r="D64" s="4">
        <v>120</v>
      </c>
      <c r="E64" s="4">
        <v>180</v>
      </c>
      <c r="F64" s="4">
        <v>250</v>
      </c>
      <c r="G64" s="4">
        <v>120</v>
      </c>
      <c r="H64" s="4">
        <v>150</v>
      </c>
      <c r="I64" s="4">
        <v>135</v>
      </c>
      <c r="J64" s="4">
        <v>200</v>
      </c>
      <c r="K64" s="4">
        <v>250</v>
      </c>
      <c r="L64" s="4">
        <v>270</v>
      </c>
      <c r="M64" s="4">
        <v>350</v>
      </c>
      <c r="N64" s="4">
        <f>AVERAGE(B64:M64)</f>
        <v>206.25</v>
      </c>
      <c r="O64">
        <f t="shared" si="2"/>
        <v>12</v>
      </c>
    </row>
    <row r="65" spans="1:14" x14ac:dyDescent="0.3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x14ac:dyDescent="0.3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15.5" x14ac:dyDescent="0.35">
      <c r="A67" s="8" t="s">
        <v>104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x14ac:dyDescent="0.35">
      <c r="A68" s="9" t="s">
        <v>68</v>
      </c>
      <c r="B68" s="4">
        <f>SUM(N62:N64)</f>
        <v>395.75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5"/>
    </row>
    <row r="69" spans="1:14" x14ac:dyDescent="0.35">
      <c r="A69" t="s">
        <v>85</v>
      </c>
      <c r="B69" s="10">
        <f>SUM(O62:O64)</f>
        <v>25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5"/>
    </row>
    <row r="70" spans="1:14" x14ac:dyDescent="0.35">
      <c r="A70" t="s">
        <v>96</v>
      </c>
      <c r="B70" s="4">
        <f>MAX(B62:M62,B63,B64:M64)</f>
        <v>350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5"/>
    </row>
    <row r="71" spans="1:14" x14ac:dyDescent="0.35">
      <c r="A71" t="s">
        <v>97</v>
      </c>
      <c r="B71" s="4">
        <f>MIN(B62:M62,B63,B64:M64)</f>
        <v>50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5"/>
    </row>
    <row r="72" spans="1:14" x14ac:dyDescent="0.35">
      <c r="A72" t="s">
        <v>98</v>
      </c>
      <c r="B72" s="4">
        <f>MEDIAN(B62:M62,B63,B64:M64)</f>
        <v>145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5"/>
    </row>
    <row r="73" spans="1:14" x14ac:dyDescent="0.35">
      <c r="A73" t="s">
        <v>99</v>
      </c>
      <c r="B73" s="4">
        <f>MAX(B62:M62,B63,B64:M64)-MIN(B62:M62,B63,B64:M64)</f>
        <v>300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</row>
    <row r="76" spans="1:14" ht="18.5" x14ac:dyDescent="0.45">
      <c r="A76" s="3" t="s">
        <v>69</v>
      </c>
    </row>
    <row r="77" spans="1:14" x14ac:dyDescent="0.35">
      <c r="A77" s="1" t="s">
        <v>70</v>
      </c>
      <c r="B77" s="1" t="s">
        <v>71</v>
      </c>
    </row>
    <row r="78" spans="1:14" x14ac:dyDescent="0.35">
      <c r="A78" t="s">
        <v>7</v>
      </c>
      <c r="B78" s="6">
        <f>SUM(N15:N17)</f>
        <v>1098.8333333333333</v>
      </c>
    </row>
    <row r="79" spans="1:14" x14ac:dyDescent="0.35">
      <c r="A79" t="s">
        <v>17</v>
      </c>
      <c r="B79" s="6">
        <f>SUM(N32:N33)</f>
        <v>3481.5</v>
      </c>
    </row>
    <row r="80" spans="1:14" x14ac:dyDescent="0.35">
      <c r="A80" t="s">
        <v>24</v>
      </c>
      <c r="B80" s="6">
        <f>SUM(N47:N48)</f>
        <v>585</v>
      </c>
    </row>
    <row r="81" spans="1:2" x14ac:dyDescent="0.35">
      <c r="A81" t="s">
        <v>72</v>
      </c>
      <c r="B81" s="6">
        <f>SUM(N62:N64)</f>
        <v>395.75</v>
      </c>
    </row>
    <row r="82" spans="1:2" x14ac:dyDescent="0.35">
      <c r="A82" s="1" t="s">
        <v>73</v>
      </c>
      <c r="B82" s="7">
        <f>SUM(B78:B81)</f>
        <v>5561.083333333333</v>
      </c>
    </row>
    <row r="83" spans="1:2" x14ac:dyDescent="0.35">
      <c r="A83" s="1" t="s">
        <v>80</v>
      </c>
      <c r="B83" s="1">
        <f>COUNT(B78:B81)</f>
        <v>4</v>
      </c>
    </row>
    <row r="84" spans="1:2" x14ac:dyDescent="0.35">
      <c r="A84" s="1" t="s">
        <v>81</v>
      </c>
      <c r="B84" s="7">
        <f>MAX(B78:B81)</f>
        <v>3481.5</v>
      </c>
    </row>
    <row r="85" spans="1:2" x14ac:dyDescent="0.35">
      <c r="A85" s="1" t="s">
        <v>82</v>
      </c>
      <c r="B85" s="7">
        <f>MIN(B78:B81)</f>
        <v>395.75</v>
      </c>
    </row>
    <row r="86" spans="1:2" x14ac:dyDescent="0.35">
      <c r="A86" s="1" t="s">
        <v>83</v>
      </c>
      <c r="B86" s="7">
        <f>MEDIAN(B78:B81)</f>
        <v>841.91666666666663</v>
      </c>
    </row>
    <row r="87" spans="1:2" x14ac:dyDescent="0.35">
      <c r="A87" s="1" t="s">
        <v>84</v>
      </c>
      <c r="B87" s="7">
        <f>MAX(B78:B81)-MIN(B78:B81)</f>
        <v>3085.75</v>
      </c>
    </row>
    <row r="90" spans="1:2" ht="21" x14ac:dyDescent="0.5">
      <c r="A90" s="2" t="s">
        <v>74</v>
      </c>
    </row>
    <row r="91" spans="1:2" x14ac:dyDescent="0.35">
      <c r="A91" s="1" t="s">
        <v>77</v>
      </c>
      <c r="B91" s="1" t="s">
        <v>78</v>
      </c>
    </row>
    <row r="92" spans="1:2" x14ac:dyDescent="0.35">
      <c r="A92" t="s">
        <v>50</v>
      </c>
      <c r="B92" s="6">
        <f>B9</f>
        <v>3650</v>
      </c>
    </row>
    <row r="93" spans="1:2" x14ac:dyDescent="0.35">
      <c r="A93" t="s">
        <v>73</v>
      </c>
      <c r="B93" s="6">
        <f>B82</f>
        <v>5561.083333333333</v>
      </c>
    </row>
    <row r="94" spans="1:2" x14ac:dyDescent="0.35">
      <c r="A94" t="s">
        <v>75</v>
      </c>
      <c r="B94" s="6">
        <f>B92-B93</f>
        <v>-1911.083333333333</v>
      </c>
    </row>
    <row r="95" spans="1:2" x14ac:dyDescent="0.35">
      <c r="A95" s="1" t="s">
        <v>76</v>
      </c>
      <c r="B95" s="1" t="str">
        <f>IF(B94&gt;0,"Within Budget","Over Budget")</f>
        <v>Over Budget</v>
      </c>
    </row>
    <row r="98" spans="1:3" ht="21" x14ac:dyDescent="0.5">
      <c r="A98" s="2"/>
    </row>
    <row r="99" spans="1:3" x14ac:dyDescent="0.35">
      <c r="A99" s="1"/>
      <c r="B99" s="1"/>
      <c r="C99" s="1"/>
    </row>
    <row r="100" spans="1:3" x14ac:dyDescent="0.35">
      <c r="B100" s="6"/>
      <c r="C100" s="6"/>
    </row>
    <row r="101" spans="1:3" x14ac:dyDescent="0.35">
      <c r="B101" s="6"/>
      <c r="C101" s="6"/>
    </row>
    <row r="102" spans="1:3" x14ac:dyDescent="0.35">
      <c r="B102" s="6"/>
      <c r="C102" s="6"/>
    </row>
    <row r="103" spans="1:3" x14ac:dyDescent="0.35">
      <c r="B103" s="6"/>
      <c r="C103" s="6"/>
    </row>
    <row r="104" spans="1:3" x14ac:dyDescent="0.35">
      <c r="A104" s="1"/>
      <c r="B104" s="1"/>
      <c r="C10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Household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Gatabi</dc:creator>
  <cp:lastModifiedBy>Rose Gatabi</cp:lastModifiedBy>
  <dcterms:created xsi:type="dcterms:W3CDTF">2026-09-11T11:17:05Z</dcterms:created>
  <dcterms:modified xsi:type="dcterms:W3CDTF">2026-09-12T07:00:03Z</dcterms:modified>
</cp:coreProperties>
</file>